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esktop/KUNJU/ENTRY-DATA ANALYTICS/ASSIGNMENTS/"/>
    </mc:Choice>
  </mc:AlternateContent>
  <xr:revisionPtr revIDLastSave="0" documentId="8_{C9E9CCAC-A30F-5E45-9111-777CBA03B5F6}" xr6:coauthVersionLast="37" xr6:coauthVersionMax="37" xr10:uidLastSave="{00000000-0000-0000-0000-000000000000}"/>
  <bookViews>
    <workbookView xWindow="0" yWindow="500" windowWidth="33600" windowHeight="1926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Dataset!$A$1:$G$36</definedName>
  </definedNames>
  <calcPr calcId="179021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55" i="2"/>
  <c r="C5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C50" i="2"/>
  <c r="C48" i="2"/>
  <c r="C45" i="2"/>
  <c r="C43" i="2"/>
  <c r="C41" i="2"/>
  <c r="E36" i="2"/>
  <c r="D36" i="2"/>
</calcChain>
</file>

<file path=xl/sharedStrings.xml><?xml version="1.0" encoding="utf-8"?>
<sst xmlns="http://schemas.openxmlformats.org/spreadsheetml/2006/main" count="181" uniqueCount="116">
  <si>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</si>
  <si>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</si>
  <si>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</si>
  <si>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</si>
  <si>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</si>
  <si>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</si>
  <si>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</si>
  <si>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</si>
  <si>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</si>
  <si>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</si>
  <si>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</si>
  <si>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</si>
  <si>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</si>
  <si>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</si>
  <si>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</si>
  <si>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</si>
  <si>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</si>
  <si>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</si>
  <si>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</si>
  <si>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</si>
  <si>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</si>
  <si>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</si>
  <si>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</si>
  <si>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</si>
  <si>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</si>
  <si>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</si>
  <si>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</si>
  <si>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</si>
  <si>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</si>
  <si>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</si>
  <si>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</si>
  <si>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</si>
  <si>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</si>
  <si>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</si>
  <si>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</si>
  <si>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</si>
  <si>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</si>
  <si>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</si>
  <si>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</si>
  <si>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</si>
  <si>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</si>
  <si>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</si>
  <si>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</si>
  <si>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</si>
  <si>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</si>
  <si>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</si>
  <si>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</si>
  <si>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</si>
  <si>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</si>
  <si>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</si>
  <si>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</si>
  <si>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</si>
  <si>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</si>
  <si>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</si>
  <si>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</si>
  <si>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</si>
  <si>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</si>
  <si>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</si>
  <si>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</si>
  <si>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</si>
  <si>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</si>
  <si>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</si>
  <si>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</si>
  <si>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</si>
  <si>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</si>
  <si>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</si>
  <si>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</si>
  <si>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</si>
  <si>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</si>
  <si>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</si>
  <si>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</si>
  <si>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</si>
  <si>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</si>
  <si>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</si>
  <si>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</si>
  <si>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</si>
  <si>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</si>
  <si>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</si>
  <si>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</si>
  <si>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</si>
  <si>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</si>
  <si>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</si>
  <si>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</si>
  <si>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</si>
  <si>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</si>
  <si>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</si>
  <si>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</si>
  <si>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</si>
  <si>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</si>
  <si>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</si>
  <si>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</si>
  <si>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</si>
  <si>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</si>
  <si>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</si>
  <si>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</si>
  <si>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</si>
  <si>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</si>
  <si>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</si>
  <si>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</si>
  <si>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</si>
  <si>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</si>
  <si>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</si>
  <si>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</si>
  <si>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</si>
  <si>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</si>
  <si>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</si>
  <si>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</si>
  <si>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</si>
  <si>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</si>
  <si>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</si>
  <si>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</t>
  </si>
  <si>
    <t>Ans.</t>
  </si>
  <si>
    <t>Price Range</t>
  </si>
  <si>
    <t>Day</t>
  </si>
  <si>
    <t xml:space="preserve">Country Code 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</si>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</sst>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2" fontId="8" fillId="0" borderId="0" xfId="0" applyNumberFormat="1" applyFont="1" applyAlignment="1"/>
    <xf numFmtId="1" fontId="8" fillId="0" borderId="0" xfId="0" applyNumberFormat="1" applyFont="1" applyAlignment="1"/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zoomScale="170" zoomScaleNormal="170" workbookViewId="0">
      <selection activeCell="C22" sqref="C22"/>
    </sheetView>
  </sheetViews>
  <sheetFormatPr baseColWidth="10" defaultColWidth="12.6640625" defaultRowHeight="15" customHeight="1" x14ac:dyDescent="0.15"/>
  <cols>
    <col min="1" max="1" width="12.6640625" customWidth="1"/>
    <col min="2" max="3" width="7.5" customWidth="1"/>
    <col min="4" max="6" width="12.6640625" customWidth="1"/>
  </cols>
  <sheetData>
    <row r="1" spans="1:3" ht="15.75" customHeight="1" x14ac:dyDescent="0.15">
      <c r="A1" s="1" t="s">
        <v>0</v>
      </c>
    </row>
    <row r="2" spans="1:3" ht="15.75" customHeight="1" x14ac:dyDescent="0.15"/>
    <row r="3" spans="1:3" ht="15.75" customHeight="1" x14ac:dyDescent="0.2">
      <c r="B3" s="2" t="s">
        <v>1</v>
      </c>
    </row>
    <row r="4" spans="1:3" ht="15.75" customHeight="1" x14ac:dyDescent="0.2">
      <c r="B4" s="2"/>
      <c r="C4" s="3" t="s">
        <v>2</v>
      </c>
    </row>
    <row r="5" spans="1:3" ht="15.75" customHeight="1" x14ac:dyDescent="0.2">
      <c r="B5" s="2"/>
      <c r="C5" s="3" t="s">
        <v>3</v>
      </c>
    </row>
    <row r="6" spans="1:3" ht="15.75" customHeight="1" x14ac:dyDescent="0.2">
      <c r="B6" s="2"/>
      <c r="C6" s="3" t="s">
        <v>4</v>
      </c>
    </row>
    <row r="7" spans="1:3" ht="15.75" customHeight="1" x14ac:dyDescent="0.2">
      <c r="B7" s="4"/>
    </row>
    <row r="8" spans="1:3" ht="15.75" customHeight="1" x14ac:dyDescent="0.2">
      <c r="B8" s="2" t="s">
        <v>5</v>
      </c>
    </row>
    <row r="9" spans="1:3" ht="15.75" customHeight="1" x14ac:dyDescent="0.2">
      <c r="C9" s="3" t="s">
        <v>6</v>
      </c>
    </row>
    <row r="10" spans="1:3" ht="15.75" customHeight="1" x14ac:dyDescent="0.2">
      <c r="C10" s="3" t="s">
        <v>7</v>
      </c>
    </row>
    <row r="11" spans="1:3" ht="15.75" customHeight="1" x14ac:dyDescent="0.2">
      <c r="B11" s="4"/>
    </row>
    <row r="12" spans="1:3" ht="15.75" customHeight="1" x14ac:dyDescent="0.2">
      <c r="B12" s="2" t="s">
        <v>8</v>
      </c>
    </row>
    <row r="13" spans="1:3" ht="15.75" customHeight="1" x14ac:dyDescent="0.2">
      <c r="C13" s="3" t="s">
        <v>9</v>
      </c>
    </row>
    <row r="14" spans="1:3" ht="15.75" customHeight="1" x14ac:dyDescent="0.2">
      <c r="B14" s="4"/>
    </row>
    <row r="15" spans="1:3" ht="15.75" customHeight="1" x14ac:dyDescent="0.2">
      <c r="B15" s="2" t="s">
        <v>10</v>
      </c>
    </row>
    <row r="16" spans="1:3" ht="15.75" customHeight="1" x14ac:dyDescent="0.2">
      <c r="C16" s="3" t="s">
        <v>11</v>
      </c>
    </row>
    <row r="17" spans="2:3" ht="15.75" customHeight="1" x14ac:dyDescent="0.2">
      <c r="C17" s="3" t="s">
        <v>12</v>
      </c>
    </row>
    <row r="18" spans="2:3" ht="15.75" customHeight="1" x14ac:dyDescent="0.2">
      <c r="B18" s="4"/>
    </row>
    <row r="19" spans="2:3" ht="15.75" customHeight="1" x14ac:dyDescent="0.2">
      <c r="B19" s="2" t="s">
        <v>13</v>
      </c>
    </row>
    <row r="20" spans="2:3" ht="15.75" customHeight="1" x14ac:dyDescent="0.2">
      <c r="C20" s="3" t="s">
        <v>14</v>
      </c>
    </row>
    <row r="21" spans="2:3" ht="15.75" customHeight="1" x14ac:dyDescent="0.2">
      <c r="C21" s="3" t="s">
        <v>15</v>
      </c>
    </row>
    <row r="22" spans="2:3" ht="15.75" customHeight="1" x14ac:dyDescent="0.2">
      <c r="C22" s="3" t="s">
        <v>16</v>
      </c>
    </row>
    <row r="23" spans="2:3" ht="15.75" customHeight="1" x14ac:dyDescent="0.2">
      <c r="B23" s="4"/>
    </row>
    <row r="24" spans="2:3" ht="15.75" customHeight="1" x14ac:dyDescent="0.15"/>
    <row r="25" spans="2:3" ht="15.75" customHeight="1" x14ac:dyDescent="0.15"/>
    <row r="26" spans="2:3" ht="15.75" customHeight="1" x14ac:dyDescent="0.15"/>
    <row r="27" spans="2:3" ht="15.75" customHeight="1" x14ac:dyDescent="0.15"/>
    <row r="28" spans="2:3" ht="15.75" customHeight="1" x14ac:dyDescent="0.15"/>
    <row r="29" spans="2:3" ht="15.75" customHeight="1" x14ac:dyDescent="0.15"/>
    <row r="30" spans="2:3" ht="15.75" customHeight="1" x14ac:dyDescent="0.15"/>
    <row r="31" spans="2:3" ht="15.75" customHeight="1" x14ac:dyDescent="0.15"/>
    <row r="32" spans="2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zoomScale="140" zoomScaleNormal="140" workbookViewId="0">
      <selection activeCell="I16" sqref="I16"/>
    </sheetView>
  </sheetViews>
  <sheetFormatPr baseColWidth="10" defaultColWidth="12.6640625" defaultRowHeight="15" customHeight="1" x14ac:dyDescent="0.15"/>
  <cols>
    <col min="1" max="1" width="12.6640625" customWidth="1"/>
    <col min="2" max="2" width="9.83203125" customWidth="1"/>
    <col min="3" max="6" width="12.6640625" customWidth="1"/>
  </cols>
  <sheetData>
    <row r="1" spans="1:10" ht="15.75" customHeight="1" x14ac:dyDescent="0.1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14" t="s">
        <v>22</v>
      </c>
      <c r="G1" s="5" t="s">
        <v>112</v>
      </c>
      <c r="H1" s="14" t="s">
        <v>113</v>
      </c>
      <c r="I1" s="14" t="s">
        <v>114</v>
      </c>
      <c r="J1" s="14" t="s">
        <v>115</v>
      </c>
    </row>
    <row r="2" spans="1:10" ht="15.75" customHeight="1" x14ac:dyDescent="0.1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</row>
    <row r="3" spans="1:10" ht="15.75" customHeight="1" x14ac:dyDescent="0.1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8" t="str">
        <f t="shared" ref="G3:G35" si="0">IF(D3&gt;=500,"High Price","Standard Price")</f>
        <v>Standard Price</v>
      </c>
      <c r="H3" s="8" t="str">
        <f t="shared" ref="H3:H35" si="1">LEFT(A3,2)</f>
        <v>15</v>
      </c>
      <c r="I3" s="8" t="str">
        <f t="shared" ref="I3:I35" si="2">RIGHT(A3,2)</f>
        <v>US</v>
      </c>
      <c r="J3" s="8" t="str">
        <f t="shared" ref="J3:J35" si="3">MID(A3,4,3)</f>
        <v>FEB</v>
      </c>
    </row>
    <row r="4" spans="1:10" ht="15.75" customHeight="1" x14ac:dyDescent="0.1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</row>
    <row r="5" spans="1:10" ht="15.75" customHeight="1" x14ac:dyDescent="0.1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8" t="str">
        <f t="shared" si="0"/>
        <v>High Price</v>
      </c>
      <c r="H5" s="8" t="str">
        <f t="shared" si="1"/>
        <v>11</v>
      </c>
      <c r="I5" s="8" t="str">
        <f t="shared" si="2"/>
        <v>US</v>
      </c>
      <c r="J5" s="7" t="str">
        <f t="shared" si="3"/>
        <v>APR</v>
      </c>
    </row>
    <row r="6" spans="1:10" ht="15.75" customHeight="1" x14ac:dyDescent="0.1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8" t="str">
        <f t="shared" si="3"/>
        <v>MAY</v>
      </c>
    </row>
    <row r="7" spans="1:10" ht="15.75" customHeight="1" x14ac:dyDescent="0.1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s="8" t="str">
        <f t="shared" si="1"/>
        <v>07</v>
      </c>
      <c r="I7" s="8" t="str">
        <f t="shared" si="2"/>
        <v>UK</v>
      </c>
      <c r="J7" s="7" t="str">
        <f t="shared" si="3"/>
        <v>JUN</v>
      </c>
    </row>
    <row r="8" spans="1:10" ht="15.75" customHeight="1" x14ac:dyDescent="0.1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8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</row>
    <row r="9" spans="1:10" ht="15.75" customHeight="1" x14ac:dyDescent="0.1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8" t="str">
        <f t="shared" si="0"/>
        <v>Standard Price</v>
      </c>
      <c r="H9" s="8" t="str">
        <f t="shared" si="1"/>
        <v>23</v>
      </c>
      <c r="I9" s="8" t="str">
        <f t="shared" si="2"/>
        <v>UK</v>
      </c>
      <c r="J9" s="8" t="str">
        <f t="shared" si="3"/>
        <v>AUG</v>
      </c>
    </row>
    <row r="10" spans="1:10" ht="15.75" customHeight="1" x14ac:dyDescent="0.1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</row>
    <row r="11" spans="1:10" ht="15.75" customHeight="1" x14ac:dyDescent="0.1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8" t="str">
        <f t="shared" si="0"/>
        <v>Standard Price</v>
      </c>
      <c r="H11" s="8" t="str">
        <f t="shared" si="1"/>
        <v>14</v>
      </c>
      <c r="I11" s="8" t="str">
        <f t="shared" si="2"/>
        <v>UK</v>
      </c>
      <c r="J11" s="7" t="str">
        <f t="shared" si="3"/>
        <v>OCT</v>
      </c>
    </row>
    <row r="12" spans="1:10" ht="15.75" customHeight="1" x14ac:dyDescent="0.1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8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8" t="str">
        <f t="shared" si="3"/>
        <v>JUN</v>
      </c>
    </row>
    <row r="13" spans="1:10" ht="15.75" customHeight="1" x14ac:dyDescent="0.1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s="8" t="str">
        <f t="shared" si="1"/>
        <v>25</v>
      </c>
      <c r="I13" s="8" t="str">
        <f t="shared" si="2"/>
        <v>AU</v>
      </c>
      <c r="J13" s="7" t="str">
        <f t="shared" si="3"/>
        <v>NOV</v>
      </c>
    </row>
    <row r="14" spans="1:10" ht="15.75" customHeight="1" x14ac:dyDescent="0.1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8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</row>
    <row r="15" spans="1:10" ht="15.75" customHeight="1" x14ac:dyDescent="0.1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8" t="str">
        <f t="shared" si="0"/>
        <v>Standard Price</v>
      </c>
      <c r="H15" s="8" t="str">
        <f t="shared" si="1"/>
        <v>18</v>
      </c>
      <c r="I15" s="8" t="str">
        <f t="shared" si="2"/>
        <v>CA</v>
      </c>
      <c r="J15" s="8" t="str">
        <f t="shared" si="3"/>
        <v>FEB</v>
      </c>
    </row>
    <row r="16" spans="1:10" ht="15.75" customHeight="1" x14ac:dyDescent="0.1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</row>
    <row r="17" spans="1:10" ht="15.75" customHeight="1" x14ac:dyDescent="0.1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8" t="str">
        <f t="shared" si="0"/>
        <v>Standard Price</v>
      </c>
      <c r="H17" s="8" t="str">
        <f t="shared" si="1"/>
        <v>21</v>
      </c>
      <c r="I17" s="8" t="str">
        <f t="shared" si="2"/>
        <v>CA</v>
      </c>
      <c r="J17" s="7" t="str">
        <f t="shared" si="3"/>
        <v>AUG</v>
      </c>
    </row>
    <row r="18" spans="1:10" ht="15.75" customHeight="1" x14ac:dyDescent="0.1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8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8" t="str">
        <f t="shared" si="3"/>
        <v>AUG</v>
      </c>
    </row>
    <row r="19" spans="1:10" ht="15.75" customHeight="1" x14ac:dyDescent="0.1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8" t="str">
        <f t="shared" si="1"/>
        <v>27</v>
      </c>
      <c r="I19" s="8" t="str">
        <f t="shared" si="2"/>
        <v>IT</v>
      </c>
      <c r="J19" s="7" t="str">
        <f t="shared" si="3"/>
        <v>JAN</v>
      </c>
    </row>
    <row r="20" spans="1:10" ht="15.75" customHeight="1" x14ac:dyDescent="0.1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8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0" ht="15.75" customHeight="1" x14ac:dyDescent="0.1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8" t="str">
        <f t="shared" si="0"/>
        <v>Standard Price</v>
      </c>
      <c r="H21" s="8" t="str">
        <f t="shared" si="1"/>
        <v>14</v>
      </c>
      <c r="I21" s="8" t="str">
        <f t="shared" si="2"/>
        <v>US</v>
      </c>
      <c r="J21" s="8" t="str">
        <f t="shared" si="3"/>
        <v>AUG</v>
      </c>
    </row>
    <row r="22" spans="1:10" ht="15.75" customHeight="1" x14ac:dyDescent="0.1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0" ht="15.75" customHeight="1" x14ac:dyDescent="0.1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8" t="str">
        <f t="shared" si="0"/>
        <v>Standard Price</v>
      </c>
      <c r="H23" s="8" t="str">
        <f t="shared" si="1"/>
        <v>09</v>
      </c>
      <c r="I23" s="8" t="str">
        <f t="shared" si="2"/>
        <v>CA</v>
      </c>
      <c r="J23" s="7" t="str">
        <f t="shared" si="3"/>
        <v>JAN</v>
      </c>
    </row>
    <row r="24" spans="1:10" ht="15.75" customHeight="1" x14ac:dyDescent="0.1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8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8" t="str">
        <f t="shared" si="3"/>
        <v>JUL</v>
      </c>
    </row>
    <row r="25" spans="1:10" ht="15.75" customHeight="1" x14ac:dyDescent="0.1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s="8" t="str">
        <f t="shared" si="1"/>
        <v>21</v>
      </c>
      <c r="I25" s="8" t="str">
        <f t="shared" si="2"/>
        <v>CA</v>
      </c>
      <c r="J25" s="7" t="str">
        <f t="shared" si="3"/>
        <v>AUG</v>
      </c>
    </row>
    <row r="26" spans="1:10" ht="15.75" customHeight="1" x14ac:dyDescent="0.1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8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</row>
    <row r="27" spans="1:10" ht="15.75" customHeight="1" x14ac:dyDescent="0.1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8" t="str">
        <f t="shared" si="0"/>
        <v>Standard Price</v>
      </c>
      <c r="H27" s="8" t="str">
        <f t="shared" si="1"/>
        <v>03</v>
      </c>
      <c r="I27" s="8" t="str">
        <f t="shared" si="2"/>
        <v>CA</v>
      </c>
      <c r="J27" s="8" t="str">
        <f t="shared" si="3"/>
        <v>JUN</v>
      </c>
    </row>
    <row r="28" spans="1:10" ht="15.75" customHeight="1" x14ac:dyDescent="0.1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0" ht="15.75" customHeight="1" x14ac:dyDescent="0.1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8" t="str">
        <f t="shared" si="0"/>
        <v>Standard Price</v>
      </c>
      <c r="H29" s="8" t="str">
        <f t="shared" si="1"/>
        <v>16</v>
      </c>
      <c r="I29" s="8" t="str">
        <f t="shared" si="2"/>
        <v>ES</v>
      </c>
      <c r="J29" s="7" t="str">
        <f t="shared" si="3"/>
        <v>APR</v>
      </c>
    </row>
    <row r="30" spans="1:10" ht="15.75" customHeight="1" x14ac:dyDescent="0.1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8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8" t="str">
        <f t="shared" si="3"/>
        <v>MAR</v>
      </c>
    </row>
    <row r="31" spans="1:10" ht="15.75" customHeight="1" x14ac:dyDescent="0.1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s="8" t="str">
        <f t="shared" si="1"/>
        <v>13</v>
      </c>
      <c r="I31" s="8" t="str">
        <f t="shared" si="2"/>
        <v>CA</v>
      </c>
      <c r="J31" s="7" t="str">
        <f t="shared" si="3"/>
        <v>APR</v>
      </c>
    </row>
    <row r="32" spans="1:10" ht="15.75" customHeight="1" x14ac:dyDescent="0.1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8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ht="15.75" customHeight="1" x14ac:dyDescent="0.1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8" t="str">
        <f t="shared" si="0"/>
        <v>Standard Price</v>
      </c>
      <c r="H33" s="8" t="str">
        <f t="shared" si="1"/>
        <v>02</v>
      </c>
      <c r="I33" s="8" t="str">
        <f t="shared" si="2"/>
        <v>CA</v>
      </c>
      <c r="J33" s="8" t="str">
        <f t="shared" si="3"/>
        <v>DEC</v>
      </c>
    </row>
    <row r="34" spans="1:10" ht="15.75" customHeight="1" x14ac:dyDescent="0.1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ht="15.75" customHeight="1" x14ac:dyDescent="0.1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8" t="str">
        <f t="shared" si="0"/>
        <v>Standard Price</v>
      </c>
      <c r="H35" s="8" t="str">
        <f t="shared" si="1"/>
        <v>09</v>
      </c>
      <c r="I35" s="8" t="str">
        <f t="shared" si="2"/>
        <v>FR</v>
      </c>
      <c r="J35" s="7" t="str">
        <f t="shared" si="3"/>
        <v>JUL</v>
      </c>
    </row>
    <row r="36" spans="1:10" ht="15.75" customHeight="1" x14ac:dyDescent="0.15">
      <c r="A36" s="9" t="s">
        <v>110</v>
      </c>
      <c r="D36" s="10">
        <f>SUM(D2:D35)</f>
        <v>10100</v>
      </c>
      <c r="E36" s="10">
        <f>SUM(E2:E35)</f>
        <v>900</v>
      </c>
    </row>
    <row r="37" spans="1:10" ht="15.75" customHeight="1" x14ac:dyDescent="0.15"/>
    <row r="38" spans="1:10" ht="15.75" customHeight="1" x14ac:dyDescent="0.15"/>
    <row r="39" spans="1:10" ht="15.75" customHeight="1" x14ac:dyDescent="0.2">
      <c r="A39" s="2" t="s">
        <v>1</v>
      </c>
    </row>
    <row r="40" spans="1:10" ht="15.75" customHeight="1" x14ac:dyDescent="0.2">
      <c r="A40" s="2"/>
      <c r="B40" s="3" t="s">
        <v>2</v>
      </c>
    </row>
    <row r="41" spans="1:10" ht="15.75" customHeight="1" x14ac:dyDescent="0.15">
      <c r="B41" s="11" t="s">
        <v>111</v>
      </c>
      <c r="C41" s="11">
        <f>SUM(D2:D35)</f>
        <v>10100</v>
      </c>
    </row>
    <row r="42" spans="1:10" ht="15.75" customHeight="1" x14ac:dyDescent="0.2">
      <c r="B42" s="3" t="s">
        <v>3</v>
      </c>
    </row>
    <row r="43" spans="1:10" ht="15.75" customHeight="1" x14ac:dyDescent="0.15">
      <c r="B43" s="11" t="s">
        <v>111</v>
      </c>
      <c r="C43" s="11">
        <f>COUNT(E2:E35)</f>
        <v>34</v>
      </c>
    </row>
    <row r="44" spans="1:10" ht="15.75" customHeight="1" x14ac:dyDescent="0.2">
      <c r="B44" s="3" t="s">
        <v>4</v>
      </c>
    </row>
    <row r="45" spans="1:10" ht="15.75" customHeight="1" x14ac:dyDescent="0.15">
      <c r="B45" s="11" t="s">
        <v>111</v>
      </c>
      <c r="C45" s="12">
        <f>AVERAGE(D2:D35)</f>
        <v>297.05882352941177</v>
      </c>
    </row>
    <row r="46" spans="1:10" ht="15.75" customHeight="1" x14ac:dyDescent="0.2">
      <c r="A46" s="2" t="s">
        <v>5</v>
      </c>
    </row>
    <row r="47" spans="1:10" ht="15.75" customHeight="1" x14ac:dyDescent="0.2">
      <c r="B47" s="3" t="s">
        <v>6</v>
      </c>
    </row>
    <row r="48" spans="1:10" ht="15.75" customHeight="1" x14ac:dyDescent="0.15">
      <c r="B48" s="11" t="s">
        <v>111</v>
      </c>
      <c r="C48" s="13">
        <f>MIN(D2:D35)</f>
        <v>30</v>
      </c>
    </row>
    <row r="49" spans="1:3" ht="15.75" customHeight="1" x14ac:dyDescent="0.2">
      <c r="B49" s="3" t="s">
        <v>7</v>
      </c>
    </row>
    <row r="50" spans="1:3" ht="15.75" customHeight="1" x14ac:dyDescent="0.15">
      <c r="B50" s="11" t="s">
        <v>111</v>
      </c>
      <c r="C50" s="13">
        <f>MAX(D2:D35)</f>
        <v>1000</v>
      </c>
    </row>
    <row r="51" spans="1:3" ht="15.75" customHeight="1" x14ac:dyDescent="0.2">
      <c r="A51" s="2" t="s">
        <v>10</v>
      </c>
    </row>
    <row r="52" spans="1:3" ht="15.75" customHeight="1" x14ac:dyDescent="0.2">
      <c r="B52" s="3" t="s">
        <v>11</v>
      </c>
    </row>
    <row r="53" spans="1:3" ht="15.75" customHeight="1" x14ac:dyDescent="0.15">
      <c r="B53" s="11" t="s">
        <v>111</v>
      </c>
      <c r="C53" s="13">
        <f>SUMIF(F2:F35,"Electronics",D2:D35)</f>
        <v>8050</v>
      </c>
    </row>
    <row r="54" spans="1:3" ht="15.75" customHeight="1" x14ac:dyDescent="0.2">
      <c r="B54" s="3" t="s">
        <v>12</v>
      </c>
    </row>
    <row r="55" spans="1:3" ht="15.75" customHeight="1" x14ac:dyDescent="0.15">
      <c r="B55" s="11" t="s">
        <v>111</v>
      </c>
      <c r="C55" s="13">
        <f>COUNTIF(D2:D35,"&lt;100")</f>
        <v>11</v>
      </c>
    </row>
    <row r="56" spans="1:3" ht="15.75" customHeight="1" x14ac:dyDescent="0.15"/>
    <row r="57" spans="1:3" ht="15.75" customHeight="1" x14ac:dyDescent="0.15"/>
    <row r="58" spans="1:3" ht="15.75" customHeight="1" x14ac:dyDescent="0.15"/>
    <row r="59" spans="1:3" ht="15.75" customHeight="1" x14ac:dyDescent="0.15"/>
    <row r="60" spans="1:3" ht="15.75" customHeight="1" x14ac:dyDescent="0.15"/>
    <row r="61" spans="1:3" ht="15.75" customHeight="1" x14ac:dyDescent="0.15"/>
    <row r="62" spans="1:3" ht="15.75" customHeight="1" x14ac:dyDescent="0.15"/>
    <row r="63" spans="1:3" ht="15.75" customHeight="1" x14ac:dyDescent="0.15"/>
    <row r="64" spans="1:3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2026-10-06T11:59:32Z</dcterms:created>
  <dcterms:modified xsi:type="dcterms:W3CDTF">2026-10-06T11:59:32Z</dcterms:modified>
</cp:coreProperties>
</file>